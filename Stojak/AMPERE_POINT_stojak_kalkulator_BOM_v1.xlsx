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_platforma" sheetId="1" state="visible" r:id="rId3"/>
    <sheet name="Aparatura" sheetId="2" state="visible" r:id="rId4"/>
    <sheet name="Kalkulacja_SKU" sheetId="3" state="visible" r:id="rId5"/>
    <sheet name="Instalacj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<sst xmlns="http://schemas.openxmlformats.org/spreadsheetml/2006/main" count="127" uniqueCount="107">
  <si>
    <t xml:space="preserve">AP-T — BOM platformy (obudowa bez aparatury), koszty netto</t>
  </si>
  <si>
    <t xml:space="preserve">LEGENDA: żółte pola = edytuj (szacunki ze środka widełek koncepcji §13; zaktualizuj po ofertach z 'zapytania_ofertowe_v1'). Czarne = formuły. Niebieskie = ceny potwierdzone w sklepie.</t>
  </si>
  <si>
    <t xml:space="preserve">Pozycja</t>
  </si>
  <si>
    <t xml:space="preserve">Wykonanie / uwagi</t>
  </si>
  <si>
    <t xml:space="preserve">@2 szt. (prototyp)</t>
  </si>
  <si>
    <t xml:space="preserve">@50 szt.</t>
  </si>
  <si>
    <t xml:space="preserve">@200 szt.</t>
  </si>
  <si>
    <t xml:space="preserve">Źródło / komentarz</t>
  </si>
  <si>
    <t xml:space="preserve">Korpus (blacha EN AW-5754 3 mm, laser+gięcie, skręcany)</t>
  </si>
  <si>
    <t xml:space="preserve">~10 kg; tył+boki+fronty</t>
  </si>
  <si>
    <t xml:space="preserve">koncepcja §13: 420–620 zł @50</t>
  </si>
  <si>
    <t xml:space="preserve">Nitonakrętki M6 A2 (~60 szt.) + złącza + śruby</t>
  </si>
  <si>
    <t xml:space="preserve">osadzane przy gięciu</t>
  </si>
  <si>
    <t xml:space="preserve">koncepcja §13</t>
  </si>
  <si>
    <t xml:space="preserve">Płyta podstawy 350×260×8 + żebra</t>
  </si>
  <si>
    <t xml:space="preserve">alu lub stal ocynk</t>
  </si>
  <si>
    <t xml:space="preserve">Daszek 420×340 (blacha 2 mm, RAL 9006)</t>
  </si>
  <si>
    <t xml:space="preserve">gięty, 4× M6</t>
  </si>
  <si>
    <t xml:space="preserve">Malowanie proszkowe kl. 2 (RAL 9005 struktura)</t>
  </si>
  <si>
    <t xml:space="preserve">~1,3 m²</t>
  </si>
  <si>
    <t xml:space="preserve">Drzwiczki S2 + zamek F550 + okno PC + uszczelki EPDM</t>
  </si>
  <si>
    <t xml:space="preserve">Moduł S2: 2× TH35, złączki N/PE, membrana DA 084, dławiki</t>
  </si>
  <si>
    <t xml:space="preserve">koncepcja §13; STEGO ~25 zł</t>
  </si>
  <si>
    <t xml:space="preserve">Zaciski przelotowe X1 5×16 mm² + śruba PE + linki</t>
  </si>
  <si>
    <t xml:space="preserve">Panele funkcyjne (2–3 szt. wg SKU)</t>
  </si>
  <si>
    <t xml:space="preserve">blacha+proszek+uszczelki</t>
  </si>
  <si>
    <t xml:space="preserve">Hak + holster (wykonanie własne)</t>
  </si>
  <si>
    <t xml:space="preserve">pręt gięty + kubek PA6</t>
  </si>
  <si>
    <t xml:space="preserve">RAZEM platforma</t>
  </si>
  <si>
    <t xml:space="preserve">AP-T — aparatura i osprzęt elektryczny + macierz ilości na SKU (ceny netto)</t>
  </si>
  <si>
    <t xml:space="preserve">Niebieskie ceny = potwierdzone (link w kol. F, 25.07.2026). Żółte = szacunek, edytuj po ofertach. Koszt SKU liczony formułą SUMPRODUCT z macierzy ilości.</t>
  </si>
  <si>
    <t xml:space="preserve">Komponent</t>
  </si>
  <si>
    <t xml:space="preserve">Symbol / typ</t>
  </si>
  <si>
    <t xml:space="preserve">Cena netto</t>
  </si>
  <si>
    <t xml:space="preserve">Status</t>
  </si>
  <si>
    <t xml:space="preserve">Źródło</t>
  </si>
  <si>
    <t xml:space="preserve">BASE</t>
  </si>
  <si>
    <t xml:space="preserve">SOCKET</t>
  </si>
  <si>
    <t xml:space="preserve">CHARGE</t>
  </si>
  <si>
    <t xml:space="preserve">WALLBOX</t>
  </si>
  <si>
    <t xml:space="preserve">DUO</t>
  </si>
  <si>
    <t xml:space="preserve">FIRMA (dodatek)</t>
  </si>
  <si>
    <t xml:space="preserve">RCD 4P 40A 30 mA typ A</t>
  </si>
  <si>
    <t xml:space="preserve">Hager CDA440J</t>
  </si>
  <si>
    <t xml:space="preserve">POTWIERDZONA</t>
  </si>
  <si>
    <t xml:space="preserve">grupaelektro.pl</t>
  </si>
  <si>
    <t xml:space="preserve">MCB C32 3P</t>
  </si>
  <si>
    <t xml:space="preserve">Eaton CLS6 / Noark Ex9BN</t>
  </si>
  <si>
    <t xml:space="preserve">szacunek</t>
  </si>
  <si>
    <t xml:space="preserve">RCBO 1P+N B16 30 mA typ A</t>
  </si>
  <si>
    <t xml:space="preserve">Noark Ex9NLE (ekonomicznie)</t>
  </si>
  <si>
    <t xml:space="preserve">szacunek 110–160</t>
  </si>
  <si>
    <t xml:space="preserve">TIM</t>
  </si>
  <si>
    <t xml:space="preserve">SPD typ 2 4P</t>
  </si>
  <si>
    <t xml:space="preserve">ETI ETITEC / Eaton SPCT2</t>
  </si>
  <si>
    <t xml:space="preserve">Licznik 3f DIN MID, Modbus</t>
  </si>
  <si>
    <t xml:space="preserve">Eastron SDM72D-M V2</t>
  </si>
  <si>
    <t xml:space="preserve">electric.pl</t>
  </si>
  <si>
    <t xml:space="preserve">Rozłącznik FR 40A 4P</t>
  </si>
  <si>
    <t xml:space="preserve">Eaton IS-40/4</t>
  </si>
  <si>
    <t xml:space="preserve">Gniazdo CEE 32A 5P skośne IP44</t>
  </si>
  <si>
    <t xml:space="preserve">PCE 425-6</t>
  </si>
  <si>
    <t xml:space="preserve">POTWIERDZONA (32,14 brutto)</t>
  </si>
  <si>
    <t xml:space="preserve">twojaelektra.pl</t>
  </si>
  <si>
    <t xml:space="preserve">Gniazdo CEE 16A 5P skośne IP44</t>
  </si>
  <si>
    <t xml:space="preserve">PCE 415-6</t>
  </si>
  <si>
    <t xml:space="preserve">2× Schuko IP54 z klapką (kpl.)</t>
  </si>
  <si>
    <t xml:space="preserve">PCE / Dr. Storm opcja</t>
  </si>
  <si>
    <t xml:space="preserve">Holster T2</t>
  </si>
  <si>
    <t xml:space="preserve">rynek / własny</t>
  </si>
  <si>
    <t xml:space="preserve">szacunek 40–140</t>
  </si>
  <si>
    <t xml:space="preserve">Dławnice + drobnica elektryczna</t>
  </si>
  <si>
    <t xml:space="preserve">M25/M32 IP68, tulejki</t>
  </si>
  <si>
    <t xml:space="preserve">Blok przelotowy 5×16 mm²</t>
  </si>
  <si>
    <t xml:space="preserve">Pollmann/Hager/WAGO</t>
  </si>
  <si>
    <t xml:space="preserve">KOSZT APARATURY I OSPRZĘTU / SKU</t>
  </si>
  <si>
    <t xml:space="preserve">Uwaga: SPD T2 w CHARGE/WALLBOX jako opcja +270 zł netto (w DUO w standardzie). SOCKET w wariancie oszczędnym: RCD 2P typ A + 2× MCB B16 zamiast 2× RCBO (–80…–120 zł).</t>
  </si>
  <si>
    <t xml:space="preserve">AP-T — kalkulacja cen SKU (netto; VAT 23% w kol. I)</t>
  </si>
  <si>
    <t xml:space="preserve">Żółte = edytuj (montaż fabryczny i CENA). Platforma = suma @50 z BOM_platforma. Aparatura = z arkusza Aparatura. FIRMA to DODATEK do wybranego SKU.</t>
  </si>
  <si>
    <t xml:space="preserve">SKU</t>
  </si>
  <si>
    <t xml:space="preserve">Platforma (koszt @50)</t>
  </si>
  <si>
    <t xml:space="preserve">Aparatura + osprzęt</t>
  </si>
  <si>
    <t xml:space="preserve">Montaż fabryczny + pakowanie</t>
  </si>
  <si>
    <t xml:space="preserve">KOSZT RAZEM</t>
  </si>
  <si>
    <t xml:space="preserve">CENA netto (edytuj)</t>
  </si>
  <si>
    <t xml:space="preserve">Marża zł</t>
  </si>
  <si>
    <t xml:space="preserve">Marża %</t>
  </si>
  <si>
    <t xml:space="preserve">Cena brutto (23%)</t>
  </si>
  <si>
    <t xml:space="preserve">Interpretacja: ujemna/niska marża @50 szt. to świadoma cena wejścia — przy serii @200 (kolumna E BOM) i etapie profilowym koszt platformy spada o 250–400 zł/szt. Sprawdź scenariusz: podmień w kol. B odwołanie na BOM_platforma!$E$15.</t>
  </si>
  <si>
    <t xml:space="preserve">Koszt wdrożenia u klienta (kalkulator ofertowy; stawki z research §9.5)</t>
  </si>
  <si>
    <t xml:space="preserve">Żółte = edytuj pod konkretną wycenę. Przykład wypełnienia: trasa 25 m, CHARGE.</t>
  </si>
  <si>
    <t xml:space="preserve">Długość trasy kablowej [m]</t>
  </si>
  <si>
    <t xml:space="preserve">pomiar u klienta</t>
  </si>
  <si>
    <t xml:space="preserve">Stawka: wykop + kabel + zasypka [zł/m]</t>
  </si>
  <si>
    <t xml:space="preserve">kb.pl: 52–72 zł/mb kompleksowo</t>
  </si>
  <si>
    <t xml:space="preserve">Fundament AP-F z dostawą</t>
  </si>
  <si>
    <t xml:space="preserve">cennik akcesoriów AP-T</t>
  </si>
  <si>
    <t xml:space="preserve">Robocizna elektryka (montaż+podłączenie+uruchomienie)</t>
  </si>
  <si>
    <t xml:space="preserve">rynek 2026: 1000–1500 zł</t>
  </si>
  <si>
    <t xml:space="preserve">Pomiary odbiorcze z protokołem</t>
  </si>
  <si>
    <t xml:space="preserve">rynek 2026: ~750 zł</t>
  </si>
  <si>
    <t xml:space="preserve">Słupek — cena netto (z arkusza Kalkulacja_SKU)</t>
  </si>
  <si>
    <t xml:space="preserve">domyślnie CHARGE (wiersz 7)</t>
  </si>
  <si>
    <t xml:space="preserve">Koszt trasy kablowej</t>
  </si>
  <si>
    <t xml:space="preserve">RAZEM instalacja (bez słupka)</t>
  </si>
  <si>
    <t xml:space="preserve">RAZEM projekt (instalacja + słupek netto)</t>
  </si>
  <si>
    <t xml:space="preserve">Wniosek sprzedażowy (research §9.5): instalacja zwykle kosztuje 2–4× więcej niż słupek — wszystko, co skraca robociznę (prefabrykat, montaż od frontu, gotowa aparatura), obniża rachunek całkowity klienta.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</si>
</sst>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&quot; zł&quot;"/>
    <numFmt numFmtId="166" formatCode="#,##0.00&quot; zł&quot;"/>
    <numFmt numFmtId="167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02A54"/>
      <name val="Arial"/>
      <family val="0"/>
      <charset val="1"/>
    </font>
    <font>
      <i val="true"/>
      <sz val="8.5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02A5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4F6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EE6"/>
      </left>
      <right style="thin">
        <color rgb="FFD8DEE6"/>
      </right>
      <top style="thin">
        <color rgb="FFD8DEE6"/>
      </top>
      <bottom style="thin">
        <color rgb="FFD8DE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6F9"/>
      <rgbColor rgb="FFCCFFFF"/>
      <rgbColor rgb="FF660066"/>
      <rgbColor rgb="FFFF8080"/>
      <rgbColor rgb="FF0066CC"/>
      <rgbColor rgb="FFD8DE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02A5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5" min="4" style="0" width="13"/>
    <col collapsed="false" customWidth="true" hidden="false" outlineLevel="0" max="6" min="6" style="0" width="4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4" t="s">
        <v>9</v>
      </c>
      <c r="C5" s="5" t="n">
        <v>900</v>
      </c>
      <c r="D5" s="5" t="n">
        <v>520</v>
      </c>
      <c r="E5" s="5" t="n">
        <v>400</v>
      </c>
      <c r="F5" s="6" t="s">
        <v>10</v>
      </c>
    </row>
    <row r="6" customFormat="false" ht="15" hidden="false" customHeight="false" outlineLevel="0" collapsed="false">
      <c r="A6" s="4" t="s">
        <v>11</v>
      </c>
      <c r="B6" s="4" t="s">
        <v>12</v>
      </c>
      <c r="C6" s="5" t="n">
        <v>90</v>
      </c>
      <c r="D6" s="5" t="n">
        <v>58</v>
      </c>
      <c r="E6" s="5" t="n">
        <v>45</v>
      </c>
      <c r="F6" s="6" t="s">
        <v>13</v>
      </c>
    </row>
    <row r="7" customFormat="false" ht="15" hidden="false" customHeight="false" outlineLevel="0" collapsed="false">
      <c r="A7" s="4" t="s">
        <v>14</v>
      </c>
      <c r="B7" s="4" t="s">
        <v>15</v>
      </c>
      <c r="C7" s="5" t="n">
        <v>150</v>
      </c>
      <c r="D7" s="5" t="n">
        <v>90</v>
      </c>
      <c r="E7" s="5" t="n">
        <v>70</v>
      </c>
      <c r="F7" s="6" t="s">
        <v>13</v>
      </c>
    </row>
    <row r="8" customFormat="false" ht="15" hidden="false" customHeight="false" outlineLevel="0" collapsed="false">
      <c r="A8" s="4" t="s">
        <v>16</v>
      </c>
      <c r="B8" s="4" t="s">
        <v>17</v>
      </c>
      <c r="C8" s="5" t="n">
        <v>110</v>
      </c>
      <c r="D8" s="5" t="n">
        <v>70</v>
      </c>
      <c r="E8" s="5" t="n">
        <v>55</v>
      </c>
      <c r="F8" s="6" t="s">
        <v>13</v>
      </c>
    </row>
    <row r="9" customFormat="false" ht="15" hidden="false" customHeight="false" outlineLevel="0" collapsed="false">
      <c r="A9" s="4" t="s">
        <v>18</v>
      </c>
      <c r="B9" s="4" t="s">
        <v>19</v>
      </c>
      <c r="C9" s="5" t="n">
        <v>190</v>
      </c>
      <c r="D9" s="5" t="n">
        <v>115</v>
      </c>
      <c r="E9" s="5" t="n">
        <v>90</v>
      </c>
      <c r="F9" s="6" t="s">
        <v>13</v>
      </c>
    </row>
    <row r="10" customFormat="false" ht="15" hidden="false" customHeight="false" outlineLevel="0" collapsed="false">
      <c r="A10" s="4" t="s">
        <v>20</v>
      </c>
      <c r="B10" s="4"/>
      <c r="C10" s="5" t="n">
        <v>180</v>
      </c>
      <c r="D10" s="5" t="n">
        <v>115</v>
      </c>
      <c r="E10" s="5" t="n">
        <v>90</v>
      </c>
      <c r="F10" s="6" t="s">
        <v>13</v>
      </c>
    </row>
    <row r="11" customFormat="false" ht="15" hidden="false" customHeight="false" outlineLevel="0" collapsed="false">
      <c r="A11" s="4" t="s">
        <v>21</v>
      </c>
      <c r="B11" s="4"/>
      <c r="C11" s="5" t="n">
        <v>200</v>
      </c>
      <c r="D11" s="5" t="n">
        <v>135</v>
      </c>
      <c r="E11" s="5" t="n">
        <v>110</v>
      </c>
      <c r="F11" s="6" t="s">
        <v>22</v>
      </c>
    </row>
    <row r="12" customFormat="false" ht="15" hidden="false" customHeight="false" outlineLevel="0" collapsed="false">
      <c r="A12" s="4" t="s">
        <v>23</v>
      </c>
      <c r="B12" s="4"/>
      <c r="C12" s="5" t="n">
        <v>140</v>
      </c>
      <c r="D12" s="5" t="n">
        <v>90</v>
      </c>
      <c r="E12" s="5" t="n">
        <v>72</v>
      </c>
      <c r="F12" s="6" t="s">
        <v>13</v>
      </c>
    </row>
    <row r="13" customFormat="false" ht="15" hidden="false" customHeight="false" outlineLevel="0" collapsed="false">
      <c r="A13" s="4" t="s">
        <v>24</v>
      </c>
      <c r="B13" s="4" t="s">
        <v>25</v>
      </c>
      <c r="C13" s="5" t="n">
        <v>140</v>
      </c>
      <c r="D13" s="5" t="n">
        <v>90</v>
      </c>
      <c r="E13" s="5" t="n">
        <v>70</v>
      </c>
      <c r="F13" s="6" t="s">
        <v>13</v>
      </c>
    </row>
    <row r="14" customFormat="false" ht="15" hidden="false" customHeight="false" outlineLevel="0" collapsed="false">
      <c r="A14" s="4" t="s">
        <v>26</v>
      </c>
      <c r="B14" s="4" t="s">
        <v>27</v>
      </c>
      <c r="C14" s="5" t="n">
        <v>100</v>
      </c>
      <c r="D14" s="5" t="n">
        <v>62</v>
      </c>
      <c r="E14" s="5" t="n">
        <v>50</v>
      </c>
      <c r="F14" s="6" t="s">
        <v>13</v>
      </c>
    </row>
    <row r="15" customFormat="false" ht="15" hidden="false" customHeight="false" outlineLevel="0" collapsed="false">
      <c r="A15" s="7" t="s">
        <v>28</v>
      </c>
      <c r="B15" s="8"/>
      <c r="C15" s="9" t="n">
        <f aca="false">SUM(C5:C14)</f>
        <v>2200</v>
      </c>
      <c r="D15" s="9" t="n">
        <f aca="false">SUM(D5:D14)</f>
        <v>1345</v>
      </c>
      <c r="E15" s="9" t="n">
        <f aca="false">SUM(E5:E14)</f>
        <v>1052</v>
      </c>
      <c r="F15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22"/>
    <col collapsed="false" customWidth="true" hidden="false" outlineLevel="0" max="5" min="5" style="0" width="2"/>
    <col collapsed="false" customWidth="true" hidden="false" outlineLevel="0" max="6" min="6" style="0" width="18"/>
    <col collapsed="false" customWidth="true" hidden="false" outlineLevel="0" max="7" min="7" style="0" width="9"/>
    <col collapsed="false" customWidth="true" hidden="false" outlineLevel="0" max="9" min="8" style="0" width="10"/>
    <col collapsed="false" customWidth="true" hidden="false" outlineLevel="0" max="10" min="10" style="0" width="11"/>
    <col collapsed="false" customWidth="true" hidden="false" outlineLevel="0" max="11" min="11" style="0" width="9"/>
    <col collapsed="false" customWidth="true" hidden="false" outlineLevel="0" max="12" min="12" style="0" width="15"/>
  </cols>
  <sheetData>
    <row r="1" customFormat="false" ht="15" hidden="false" customHeight="false" outlineLevel="0" collapsed="false">
      <c r="A1" s="10" t="s">
        <v>29</v>
      </c>
    </row>
    <row r="2" customFormat="false" ht="15" hidden="false" customHeight="false" outlineLevel="0" collapsed="false">
      <c r="A2" s="2" t="s">
        <v>30</v>
      </c>
    </row>
    <row r="4" customFormat="false" ht="15" hidden="false" customHeight="false" outlineLevel="0" collapsed="false">
      <c r="A4" s="3" t="s">
        <v>31</v>
      </c>
      <c r="B4" s="3" t="s">
        <v>32</v>
      </c>
      <c r="C4" s="3" t="s">
        <v>33</v>
      </c>
      <c r="D4" s="3" t="s">
        <v>34</v>
      </c>
      <c r="F4" s="3" t="s">
        <v>35</v>
      </c>
      <c r="G4" s="3" t="s">
        <v>36</v>
      </c>
      <c r="H4" s="3" t="s">
        <v>37</v>
      </c>
      <c r="I4" s="3" t="s">
        <v>38</v>
      </c>
      <c r="J4" s="3" t="s">
        <v>39</v>
      </c>
      <c r="K4" s="3" t="s">
        <v>40</v>
      </c>
      <c r="L4" s="3" t="s">
        <v>41</v>
      </c>
    </row>
    <row r="5" customFormat="false" ht="15" hidden="false" customHeight="false" outlineLevel="0" collapsed="false">
      <c r="A5" s="4" t="s">
        <v>42</v>
      </c>
      <c r="B5" s="4" t="s">
        <v>43</v>
      </c>
      <c r="C5" s="11" t="n">
        <v>125.09</v>
      </c>
      <c r="D5" s="6" t="s">
        <v>44</v>
      </c>
      <c r="F5" s="6" t="s">
        <v>45</v>
      </c>
      <c r="G5" s="12" t="n">
        <v>0</v>
      </c>
      <c r="H5" s="12" t="n">
        <v>0</v>
      </c>
      <c r="I5" s="12" t="n">
        <v>1</v>
      </c>
      <c r="J5" s="12" t="n">
        <v>1</v>
      </c>
      <c r="K5" s="12" t="n">
        <v>2</v>
      </c>
      <c r="L5" s="12" t="n">
        <v>0</v>
      </c>
    </row>
    <row r="6" customFormat="false" ht="15" hidden="false" customHeight="false" outlineLevel="0" collapsed="false">
      <c r="A6" s="4" t="s">
        <v>46</v>
      </c>
      <c r="B6" s="4" t="s">
        <v>47</v>
      </c>
      <c r="C6" s="13" t="n">
        <v>60</v>
      </c>
      <c r="D6" s="6" t="s">
        <v>48</v>
      </c>
      <c r="F6" s="6"/>
      <c r="G6" s="12" t="n">
        <v>0</v>
      </c>
      <c r="H6" s="12" t="n">
        <v>0</v>
      </c>
      <c r="I6" s="12" t="n">
        <v>1</v>
      </c>
      <c r="J6" s="12" t="n">
        <v>1</v>
      </c>
      <c r="K6" s="12" t="n">
        <v>2</v>
      </c>
      <c r="L6" s="12" t="n">
        <v>0</v>
      </c>
    </row>
    <row r="7" customFormat="false" ht="15" hidden="false" customHeight="false" outlineLevel="0" collapsed="false">
      <c r="A7" s="4" t="s">
        <v>49</v>
      </c>
      <c r="B7" s="4" t="s">
        <v>50</v>
      </c>
      <c r="C7" s="13" t="n">
        <v>135</v>
      </c>
      <c r="D7" s="6" t="s">
        <v>51</v>
      </c>
      <c r="F7" s="6" t="s">
        <v>52</v>
      </c>
      <c r="G7" s="12" t="n">
        <v>0</v>
      </c>
      <c r="H7" s="12" t="n">
        <v>2</v>
      </c>
      <c r="I7" s="12" t="n">
        <v>0</v>
      </c>
      <c r="J7" s="12" t="n">
        <v>0</v>
      </c>
      <c r="K7" s="12" t="n">
        <v>0</v>
      </c>
      <c r="L7" s="12" t="n">
        <v>0</v>
      </c>
    </row>
    <row r="8" customFormat="false" ht="15" hidden="false" customHeight="false" outlineLevel="0" collapsed="false">
      <c r="A8" s="4" t="s">
        <v>53</v>
      </c>
      <c r="B8" s="4" t="s">
        <v>54</v>
      </c>
      <c r="C8" s="13" t="n">
        <v>270</v>
      </c>
      <c r="D8" s="6" t="s">
        <v>48</v>
      </c>
      <c r="F8" s="6"/>
      <c r="G8" s="12" t="n">
        <v>0</v>
      </c>
      <c r="H8" s="12" t="n">
        <v>0</v>
      </c>
      <c r="I8" s="12" t="n">
        <v>0</v>
      </c>
      <c r="J8" s="12" t="n">
        <v>0</v>
      </c>
      <c r="K8" s="12" t="n">
        <v>1</v>
      </c>
      <c r="L8" s="12" t="n">
        <v>0</v>
      </c>
    </row>
    <row r="9" customFormat="false" ht="15" hidden="false" customHeight="false" outlineLevel="0" collapsed="false">
      <c r="A9" s="4" t="s">
        <v>55</v>
      </c>
      <c r="B9" s="4" t="s">
        <v>56</v>
      </c>
      <c r="C9" s="11" t="n">
        <v>338.37</v>
      </c>
      <c r="D9" s="6" t="s">
        <v>44</v>
      </c>
      <c r="F9" s="6" t="s">
        <v>57</v>
      </c>
      <c r="G9" s="12" t="n">
        <v>0</v>
      </c>
      <c r="H9" s="12" t="n">
        <v>0</v>
      </c>
      <c r="I9" s="12" t="n">
        <v>0</v>
      </c>
      <c r="J9" s="12" t="n">
        <v>0</v>
      </c>
      <c r="K9" s="12" t="n">
        <v>0</v>
      </c>
      <c r="L9" s="12" t="n">
        <v>1</v>
      </c>
    </row>
    <row r="10" customFormat="false" ht="15" hidden="false" customHeight="false" outlineLevel="0" collapsed="false">
      <c r="A10" s="4" t="s">
        <v>58</v>
      </c>
      <c r="B10" s="4" t="s">
        <v>59</v>
      </c>
      <c r="C10" s="13" t="n">
        <v>115</v>
      </c>
      <c r="D10" s="6" t="s">
        <v>48</v>
      </c>
      <c r="F10" s="6"/>
      <c r="G10" s="12" t="n">
        <v>0</v>
      </c>
      <c r="H10" s="12" t="n">
        <v>0</v>
      </c>
      <c r="I10" s="12" t="n">
        <v>0</v>
      </c>
      <c r="J10" s="12" t="n">
        <v>0</v>
      </c>
      <c r="K10" s="12" t="n">
        <v>0</v>
      </c>
      <c r="L10" s="12" t="n">
        <v>1</v>
      </c>
    </row>
    <row r="11" customFormat="false" ht="15" hidden="false" customHeight="false" outlineLevel="0" collapsed="false">
      <c r="A11" s="4" t="s">
        <v>60</v>
      </c>
      <c r="B11" s="4" t="s">
        <v>61</v>
      </c>
      <c r="C11" s="11" t="n">
        <v>26.13</v>
      </c>
      <c r="D11" s="6" t="s">
        <v>62</v>
      </c>
      <c r="F11" s="6" t="s">
        <v>63</v>
      </c>
      <c r="G11" s="12" t="n">
        <v>0</v>
      </c>
      <c r="H11" s="12" t="n">
        <v>0</v>
      </c>
      <c r="I11" s="12" t="n">
        <v>1</v>
      </c>
      <c r="J11" s="12" t="n">
        <v>1</v>
      </c>
      <c r="K11" s="12" t="n">
        <v>2</v>
      </c>
      <c r="L11" s="12" t="n">
        <v>0</v>
      </c>
    </row>
    <row r="12" customFormat="false" ht="15" hidden="false" customHeight="false" outlineLevel="0" collapsed="false">
      <c r="A12" s="4" t="s">
        <v>64</v>
      </c>
      <c r="B12" s="4" t="s">
        <v>65</v>
      </c>
      <c r="C12" s="13" t="n">
        <v>28</v>
      </c>
      <c r="D12" s="6" t="s">
        <v>48</v>
      </c>
      <c r="F12" s="6"/>
      <c r="G12" s="12" t="n">
        <v>0</v>
      </c>
      <c r="H12" s="12" t="n">
        <v>1</v>
      </c>
      <c r="I12" s="12" t="n">
        <v>0</v>
      </c>
      <c r="J12" s="12" t="n">
        <v>0</v>
      </c>
      <c r="K12" s="12" t="n">
        <v>0</v>
      </c>
      <c r="L12" s="12" t="n">
        <v>0</v>
      </c>
    </row>
    <row r="13" customFormat="false" ht="15" hidden="false" customHeight="false" outlineLevel="0" collapsed="false">
      <c r="A13" s="4" t="s">
        <v>66</v>
      </c>
      <c r="B13" s="4" t="s">
        <v>67</v>
      </c>
      <c r="C13" s="13" t="n">
        <v>45</v>
      </c>
      <c r="D13" s="6" t="s">
        <v>48</v>
      </c>
      <c r="F13" s="6"/>
      <c r="G13" s="12" t="n">
        <v>0</v>
      </c>
      <c r="H13" s="12" t="n">
        <v>1</v>
      </c>
      <c r="I13" s="12" t="n">
        <v>0</v>
      </c>
      <c r="J13" s="12" t="n">
        <v>0</v>
      </c>
      <c r="K13" s="12" t="n">
        <v>0</v>
      </c>
      <c r="L13" s="12" t="n">
        <v>0</v>
      </c>
    </row>
    <row r="14" customFormat="false" ht="15" hidden="false" customHeight="false" outlineLevel="0" collapsed="false">
      <c r="A14" s="4" t="s">
        <v>68</v>
      </c>
      <c r="B14" s="4" t="s">
        <v>69</v>
      </c>
      <c r="C14" s="13" t="n">
        <v>90</v>
      </c>
      <c r="D14" s="6" t="s">
        <v>70</v>
      </c>
      <c r="F14" s="6"/>
      <c r="G14" s="12" t="n">
        <v>0</v>
      </c>
      <c r="H14" s="12" t="n">
        <v>0</v>
      </c>
      <c r="I14" s="12" t="n">
        <v>1</v>
      </c>
      <c r="J14" s="12" t="n">
        <v>1</v>
      </c>
      <c r="K14" s="12" t="n">
        <v>2</v>
      </c>
      <c r="L14" s="12" t="n">
        <v>0</v>
      </c>
    </row>
    <row r="15" customFormat="false" ht="15" hidden="false" customHeight="false" outlineLevel="0" collapsed="false">
      <c r="A15" s="4" t="s">
        <v>71</v>
      </c>
      <c r="B15" s="4" t="s">
        <v>72</v>
      </c>
      <c r="C15" s="13" t="n">
        <v>70</v>
      </c>
      <c r="D15" s="6" t="s">
        <v>48</v>
      </c>
      <c r="F15" s="6"/>
      <c r="G15" s="12" t="n">
        <v>1</v>
      </c>
      <c r="H15" s="12" t="n">
        <v>1</v>
      </c>
      <c r="I15" s="12" t="n">
        <v>1</v>
      </c>
      <c r="J15" s="12" t="n">
        <v>1</v>
      </c>
      <c r="K15" s="12" t="n">
        <v>1</v>
      </c>
      <c r="L15" s="12" t="n">
        <v>0</v>
      </c>
    </row>
    <row r="16" customFormat="false" ht="15" hidden="false" customHeight="false" outlineLevel="0" collapsed="false">
      <c r="A16" s="4" t="s">
        <v>73</v>
      </c>
      <c r="B16" s="4" t="s">
        <v>74</v>
      </c>
      <c r="C16" s="13" t="n">
        <v>95</v>
      </c>
      <c r="D16" s="6" t="s">
        <v>48</v>
      </c>
      <c r="F16" s="6"/>
      <c r="G16" s="12" t="n">
        <v>1</v>
      </c>
      <c r="H16" s="12" t="n">
        <v>1</v>
      </c>
      <c r="I16" s="12" t="n">
        <v>1</v>
      </c>
      <c r="J16" s="12" t="n">
        <v>1</v>
      </c>
      <c r="K16" s="12" t="n">
        <v>1</v>
      </c>
      <c r="L16" s="12" t="n">
        <v>0</v>
      </c>
    </row>
    <row r="17" customFormat="false" ht="15" hidden="false" customHeight="false" outlineLevel="0" collapsed="false">
      <c r="A17" s="7" t="s">
        <v>75</v>
      </c>
      <c r="B17" s="8"/>
      <c r="C17" s="8"/>
      <c r="D17" s="8"/>
      <c r="F17" s="8"/>
      <c r="G17" s="9" t="n">
        <f aca="false">SUMPRODUCT($C$5:$C$16,G5:G16)</f>
        <v>165</v>
      </c>
      <c r="H17" s="9" t="n">
        <f aca="false">SUMPRODUCT($C$5:$C$16,H5:H16)</f>
        <v>508</v>
      </c>
      <c r="I17" s="9" t="n">
        <f aca="false">SUMPRODUCT($C$5:$C$16,I5:I16)</f>
        <v>466.22</v>
      </c>
      <c r="J17" s="9" t="n">
        <f aca="false">SUMPRODUCT($C$5:$C$16,J5:J16)</f>
        <v>466.22</v>
      </c>
      <c r="K17" s="9" t="n">
        <f aca="false">SUMPRODUCT($C$5:$C$16,K5:K16)</f>
        <v>1037.44</v>
      </c>
      <c r="L17" s="9" t="n">
        <f aca="false">SUMPRODUCT($C$5:$C$16,L5:L16)</f>
        <v>453.37</v>
      </c>
    </row>
    <row r="19" customFormat="false" ht="15" hidden="false" customHeight="false" outlineLevel="0" collapsed="false">
      <c r="A19" s="2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9"/>
    <col collapsed="false" customWidth="true" hidden="false" outlineLevel="0" max="4" min="4" style="0" width="24"/>
    <col collapsed="false" customWidth="true" hidden="false" outlineLevel="0" max="5" min="5" style="0" width="15"/>
    <col collapsed="false" customWidth="true" hidden="false" outlineLevel="0" max="6" min="6" style="0" width="18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9" min="9" style="0" width="17"/>
  </cols>
  <sheetData>
    <row r="1" customFormat="false" ht="15" hidden="false" customHeight="false" outlineLevel="0" collapsed="false">
      <c r="A1" s="10" t="s">
        <v>77</v>
      </c>
    </row>
    <row r="2" customFormat="false" ht="15" hidden="false" customHeight="false" outlineLevel="0" collapsed="false">
      <c r="A2" s="2" t="s">
        <v>78</v>
      </c>
    </row>
    <row r="4" customFormat="false" ht="15" hidden="false" customHeight="false" outlineLevel="0" collapsed="false">
      <c r="A4" s="3" t="s">
        <v>79</v>
      </c>
      <c r="B4" s="3" t="s">
        <v>80</v>
      </c>
      <c r="C4" s="3" t="s">
        <v>81</v>
      </c>
      <c r="D4" s="3" t="s">
        <v>82</v>
      </c>
      <c r="E4" s="3" t="s">
        <v>83</v>
      </c>
      <c r="F4" s="3" t="s">
        <v>84</v>
      </c>
      <c r="G4" s="3" t="s">
        <v>85</v>
      </c>
      <c r="H4" s="3" t="s">
        <v>86</v>
      </c>
      <c r="I4" s="3" t="s">
        <v>87</v>
      </c>
    </row>
    <row r="5" customFormat="false" ht="15" hidden="false" customHeight="false" outlineLevel="0" collapsed="false">
      <c r="A5" s="14" t="s">
        <v>36</v>
      </c>
      <c r="B5" s="15" t="n">
        <f aca="false">BOM_platforma!$D$15</f>
        <v>1345</v>
      </c>
      <c r="C5" s="15" t="n">
        <f aca="false">Aparatura!G17</f>
        <v>165</v>
      </c>
      <c r="D5" s="5" t="n">
        <v>60</v>
      </c>
      <c r="E5" s="16" t="n">
        <f aca="false">B5+C5+D5</f>
        <v>1570</v>
      </c>
      <c r="F5" s="17" t="n">
        <v>1190</v>
      </c>
      <c r="G5" s="15" t="n">
        <f aca="false">F5-E5</f>
        <v>-380</v>
      </c>
      <c r="H5" s="18" t="n">
        <f aca="false">IF(F5=0,0,G5/F5)</f>
        <v>-0.319327731092437</v>
      </c>
      <c r="I5" s="15" t="n">
        <f aca="false">F5*1.23</f>
        <v>1463.7</v>
      </c>
    </row>
    <row r="6" customFormat="false" ht="15" hidden="false" customHeight="false" outlineLevel="0" collapsed="false">
      <c r="A6" s="14" t="s">
        <v>37</v>
      </c>
      <c r="B6" s="15" t="n">
        <f aca="false">BOM_platforma!$D$15</f>
        <v>1345</v>
      </c>
      <c r="C6" s="15" t="n">
        <f aca="false">Aparatura!H17</f>
        <v>508</v>
      </c>
      <c r="D6" s="5" t="n">
        <v>90</v>
      </c>
      <c r="E6" s="16" t="n">
        <f aca="false">B6+C6+D6</f>
        <v>1943</v>
      </c>
      <c r="F6" s="17" t="n">
        <v>1490</v>
      </c>
      <c r="G6" s="15" t="n">
        <f aca="false">F6-E6</f>
        <v>-453</v>
      </c>
      <c r="H6" s="18" t="n">
        <f aca="false">IF(F6=0,0,G6/F6)</f>
        <v>-0.304026845637584</v>
      </c>
      <c r="I6" s="15" t="n">
        <f aca="false">F6*1.23</f>
        <v>1832.7</v>
      </c>
    </row>
    <row r="7" customFormat="false" ht="15" hidden="false" customHeight="false" outlineLevel="0" collapsed="false">
      <c r="A7" s="14" t="s">
        <v>38</v>
      </c>
      <c r="B7" s="15" t="n">
        <f aca="false">BOM_platforma!$D$15</f>
        <v>1345</v>
      </c>
      <c r="C7" s="15" t="n">
        <f aca="false">Aparatura!I17</f>
        <v>466.22</v>
      </c>
      <c r="D7" s="5" t="n">
        <v>120</v>
      </c>
      <c r="E7" s="16" t="n">
        <f aca="false">B7+C7+D7</f>
        <v>1931.22</v>
      </c>
      <c r="F7" s="17" t="n">
        <v>1890</v>
      </c>
      <c r="G7" s="15" t="n">
        <f aca="false">F7-E7</f>
        <v>-41.22</v>
      </c>
      <c r="H7" s="18" t="n">
        <f aca="false">IF(F7=0,0,G7/F7)</f>
        <v>-0.0218095238095238</v>
      </c>
      <c r="I7" s="15" t="n">
        <f aca="false">F7*1.23</f>
        <v>2324.7</v>
      </c>
    </row>
    <row r="8" customFormat="false" ht="15" hidden="false" customHeight="false" outlineLevel="0" collapsed="false">
      <c r="A8" s="14" t="s">
        <v>39</v>
      </c>
      <c r="B8" s="15" t="n">
        <f aca="false">BOM_platforma!$D$15</f>
        <v>1345</v>
      </c>
      <c r="C8" s="15" t="n">
        <f aca="false">Aparatura!J17</f>
        <v>466.22</v>
      </c>
      <c r="D8" s="5" t="n">
        <v>110</v>
      </c>
      <c r="E8" s="16" t="n">
        <f aca="false">B8+C8+D8</f>
        <v>1921.22</v>
      </c>
      <c r="F8" s="17" t="n">
        <v>1690</v>
      </c>
      <c r="G8" s="15" t="n">
        <f aca="false">F8-E8</f>
        <v>-231.22</v>
      </c>
      <c r="H8" s="18" t="n">
        <f aca="false">IF(F8=0,0,G8/F8)</f>
        <v>-0.136816568047337</v>
      </c>
      <c r="I8" s="15" t="n">
        <f aca="false">F8*1.23</f>
        <v>2078.7</v>
      </c>
    </row>
    <row r="9" customFormat="false" ht="15" hidden="false" customHeight="false" outlineLevel="0" collapsed="false">
      <c r="A9" s="14" t="s">
        <v>40</v>
      </c>
      <c r="B9" s="15" t="n">
        <f aca="false">BOM_platforma!$D$15</f>
        <v>1345</v>
      </c>
      <c r="C9" s="15" t="n">
        <f aca="false">Aparatura!K17</f>
        <v>1037.44</v>
      </c>
      <c r="D9" s="5" t="n">
        <v>180</v>
      </c>
      <c r="E9" s="16" t="n">
        <f aca="false">B9+C9+D9</f>
        <v>2562.44</v>
      </c>
      <c r="F9" s="17" t="n">
        <v>2890</v>
      </c>
      <c r="G9" s="15" t="n">
        <f aca="false">F9-E9</f>
        <v>327.56</v>
      </c>
      <c r="H9" s="18" t="n">
        <f aca="false">IF(F9=0,0,G9/F9)</f>
        <v>0.113342560553633</v>
      </c>
      <c r="I9" s="15" t="n">
        <f aca="false">F9*1.23</f>
        <v>3554.7</v>
      </c>
    </row>
    <row r="10" customFormat="false" ht="15" hidden="false" customHeight="false" outlineLevel="0" collapsed="false">
      <c r="A10" s="14" t="s">
        <v>41</v>
      </c>
      <c r="B10" s="15" t="n">
        <v>0</v>
      </c>
      <c r="C10" s="15" t="n">
        <f aca="false">Aparatura!L17</f>
        <v>453.37</v>
      </c>
      <c r="D10" s="5" t="n">
        <v>40</v>
      </c>
      <c r="E10" s="16" t="n">
        <f aca="false">B10+C10+D10</f>
        <v>493.37</v>
      </c>
      <c r="F10" s="17" t="n">
        <v>590</v>
      </c>
      <c r="G10" s="15" t="n">
        <f aca="false">F10-E10</f>
        <v>96.63</v>
      </c>
      <c r="H10" s="18" t="n">
        <f aca="false">IF(F10=0,0,G10/F10)</f>
        <v>0.163779661016949</v>
      </c>
      <c r="I10" s="15" t="n">
        <f aca="false">F10*1.23</f>
        <v>725.7</v>
      </c>
    </row>
    <row r="12" customFormat="false" ht="15" hidden="false" customHeight="false" outlineLevel="0" collapsed="false">
      <c r="A12" s="2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44"/>
  </cols>
  <sheetData>
    <row r="1" customFormat="false" ht="15" hidden="false" customHeight="false" outlineLevel="0" collapsed="false">
      <c r="A1" s="10" t="s">
        <v>89</v>
      </c>
    </row>
    <row r="2" customFormat="false" ht="15" hidden="false" customHeight="false" outlineLevel="0" collapsed="false">
      <c r="A2" s="2" t="s">
        <v>90</v>
      </c>
    </row>
    <row r="4" customFormat="false" ht="15" hidden="false" customHeight="false" outlineLevel="0" collapsed="false">
      <c r="A4" s="4" t="s">
        <v>91</v>
      </c>
      <c r="B4" s="19" t="n">
        <v>25</v>
      </c>
      <c r="C4" s="6" t="s">
        <v>92</v>
      </c>
    </row>
    <row r="5" customFormat="false" ht="15" hidden="false" customHeight="false" outlineLevel="0" collapsed="false">
      <c r="A5" s="4" t="s">
        <v>93</v>
      </c>
      <c r="B5" s="5" t="n">
        <v>62</v>
      </c>
      <c r="C5" s="6" t="s">
        <v>94</v>
      </c>
    </row>
    <row r="6" customFormat="false" ht="15" hidden="false" customHeight="false" outlineLevel="0" collapsed="false">
      <c r="A6" s="4" t="s">
        <v>95</v>
      </c>
      <c r="B6" s="5" t="n">
        <v>449</v>
      </c>
      <c r="C6" s="6" t="s">
        <v>96</v>
      </c>
    </row>
    <row r="7" customFormat="false" ht="15" hidden="false" customHeight="false" outlineLevel="0" collapsed="false">
      <c r="A7" s="4" t="s">
        <v>97</v>
      </c>
      <c r="B7" s="5" t="n">
        <v>1250</v>
      </c>
      <c r="C7" s="6" t="s">
        <v>98</v>
      </c>
    </row>
    <row r="8" customFormat="false" ht="15" hidden="false" customHeight="false" outlineLevel="0" collapsed="false">
      <c r="A8" s="4" t="s">
        <v>99</v>
      </c>
      <c r="B8" s="5" t="n">
        <v>750</v>
      </c>
      <c r="C8" s="6" t="s">
        <v>100</v>
      </c>
    </row>
    <row r="9" customFormat="false" ht="15" hidden="false" customHeight="false" outlineLevel="0" collapsed="false">
      <c r="A9" s="4" t="s">
        <v>101</v>
      </c>
      <c r="B9" s="15" t="n">
        <f aca="false">Kalkulacja_SKU!F7</f>
        <v>1890</v>
      </c>
      <c r="C9" s="6" t="s">
        <v>102</v>
      </c>
    </row>
    <row r="11" customFormat="false" ht="15" hidden="false" customHeight="false" outlineLevel="0" collapsed="false">
      <c r="A11" s="4" t="s">
        <v>103</v>
      </c>
      <c r="B11" s="15" t="n">
        <f aca="false">B4*B5</f>
        <v>1550</v>
      </c>
      <c r="C11" s="20"/>
    </row>
    <row r="12" customFormat="false" ht="15" hidden="false" customHeight="false" outlineLevel="0" collapsed="false">
      <c r="A12" s="7" t="s">
        <v>104</v>
      </c>
      <c r="B12" s="9" t="n">
        <f aca="false">B11+B6+B7+B8</f>
        <v>3999</v>
      </c>
      <c r="C12" s="8"/>
    </row>
    <row r="13" customFormat="false" ht="15" hidden="false" customHeight="false" outlineLevel="0" collapsed="false">
      <c r="A13" s="7" t="s">
        <v>105</v>
      </c>
      <c r="B13" s="9" t="n">
        <f aca="false">B12+B9</f>
        <v>5889</v>
      </c>
      <c r="C13" s="8"/>
    </row>
    <row r="15" customFormat="false" ht="15" hidden="false" customHeight="false" outlineLevel="0" collapsed="false">
      <c r="A15" s="2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2026-07-30T12:20:21Z</dcterms:created>
  <dc:creator>openpyxl</dc:creator>
  <dc:description/>
  <dc:language>en-US</dc:language>
  <cp:lastModifiedBy/>
  <dcterms:modified xsi:type="dcterms:W3CDTF">2026-07-30T12:20:21Z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